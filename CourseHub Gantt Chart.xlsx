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aria\Downloads\"/>
    </mc:Choice>
  </mc:AlternateContent>
  <xr:revisionPtr revIDLastSave="0" documentId="8_{52F77878-924B-4D53-9E19-9CEAB99ACA60}" xr6:coauthVersionLast="47" xr6:coauthVersionMax="47" xr10:uidLastSave="{00000000-0000-0000-0000-000000000000}"/>
  <bookViews>
    <workbookView xWindow="-110" yWindow="-110" windowWidth="19420" windowHeight="1030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11" l="1"/>
  <c r="F12" i="11"/>
  <c r="F10" i="11"/>
  <c r="E10" i="11"/>
  <c r="F13" i="11"/>
  <c r="Q1" i="11"/>
  <c r="H7" i="11" l="1"/>
  <c r="E9" i="11" l="1"/>
  <c r="F9" i="11" s="1"/>
  <c r="I5" i="11" l="1"/>
  <c r="C34" i="11"/>
  <c r="C33" i="11"/>
  <c r="C27" i="11"/>
  <c r="C21" i="11"/>
  <c r="H15" i="11"/>
  <c r="H8" i="11"/>
  <c r="C22" i="11" l="1"/>
  <c r="H9" i="11"/>
  <c r="E11" i="11"/>
  <c r="F11" i="11" s="1"/>
  <c r="E13" i="11"/>
  <c r="E16" i="11" s="1"/>
  <c r="I6" i="11"/>
  <c r="E14" i="11" l="1"/>
  <c r="F14" i="11" s="1"/>
  <c r="C23" i="11"/>
  <c r="C32" i="11"/>
  <c r="C29" i="11"/>
  <c r="C31" i="11"/>
  <c r="C28" i="11"/>
  <c r="H10" i="11"/>
  <c r="H16" i="11"/>
  <c r="H13" i="11"/>
  <c r="E12" i="11"/>
  <c r="J5" i="11"/>
  <c r="K5" i="11" s="1"/>
  <c r="L5" i="11" s="1"/>
  <c r="M5" i="11" s="1"/>
  <c r="N5" i="11" s="1"/>
  <c r="O5" i="11" s="1"/>
  <c r="P5" i="11" s="1"/>
  <c r="I4" i="11"/>
  <c r="C30" i="11" l="1"/>
  <c r="C17" i="11"/>
  <c r="H11" i="11"/>
  <c r="H12" i="11"/>
  <c r="P4" i="11"/>
  <c r="Q5" i="11"/>
  <c r="R5" i="11" s="1"/>
  <c r="S5" i="11" s="1"/>
  <c r="T5" i="11" s="1"/>
  <c r="U5" i="11" s="1"/>
  <c r="V5" i="11" s="1"/>
  <c r="W5" i="11" s="1"/>
  <c r="W6" i="11" s="1"/>
  <c r="J6" i="11"/>
  <c r="C26" i="11" l="1"/>
  <c r="C24" i="11"/>
  <c r="C20" i="11"/>
  <c r="C19" i="11"/>
  <c r="C18" i="11"/>
  <c r="W4" i="11"/>
  <c r="K6" i="11"/>
  <c r="C25" i="11" l="1"/>
  <c r="L6" i="11"/>
  <c r="M6" i="11" l="1"/>
  <c r="N6" i="11" l="1"/>
  <c r="O6" i="11" l="1"/>
  <c r="P6" i="11" l="1"/>
  <c r="Q6" i="11"/>
  <c r="R6" i="11" l="1"/>
  <c r="S6" i="11" l="1"/>
  <c r="T6" i="11" l="1"/>
  <c r="U6" i="11" l="1"/>
  <c r="V6" i="11" l="1"/>
</calcChain>
</file>

<file path=xl/sharedStrings.xml><?xml version="1.0" encoding="utf-8"?>
<sst xmlns="http://schemas.openxmlformats.org/spreadsheetml/2006/main" count="25" uniqueCount="25">
  <si>
    <t>PROGRESS</t>
  </si>
  <si>
    <t>START</t>
  </si>
  <si>
    <t>END</t>
  </si>
  <si>
    <t>TASK</t>
  </si>
  <si>
    <t xml:space="preserve">Do not delete this row. This row is hidden to preserve a formula that is used to highlight the current day within the project schedule. </t>
  </si>
  <si>
    <t>Project start:</t>
  </si>
  <si>
    <t>Display week:</t>
  </si>
  <si>
    <t>ASSIGNED TO</t>
  </si>
  <si>
    <t xml:space="preserve">Course Hub </t>
  </si>
  <si>
    <t>Home Page</t>
  </si>
  <si>
    <t>Course list page</t>
  </si>
  <si>
    <t>Course links</t>
  </si>
  <si>
    <t>About us, conact us</t>
  </si>
  <si>
    <t>suggestions page</t>
  </si>
  <si>
    <t>Raghad</t>
  </si>
  <si>
    <t>Wala, All group members</t>
  </si>
  <si>
    <t>Maha</t>
  </si>
  <si>
    <t>Maha, All group members</t>
  </si>
  <si>
    <t>Milestone Handover</t>
  </si>
  <si>
    <t>Main Tasks</t>
  </si>
  <si>
    <t>Wala</t>
  </si>
  <si>
    <t>Fajer</t>
  </si>
  <si>
    <t xml:space="preserve">Support course links </t>
  </si>
  <si>
    <t>README</t>
  </si>
  <si>
    <t>Fajer,All group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</si>
</sst>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7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8" borderId="17" xfId="0" applyNumberFormat="1" applyFont="1" applyFill="1" applyBorder="1" applyAlignment="1">
      <alignment horizontal="center" vertical="center"/>
    </xf>
    <xf numFmtId="167" fontId="17" fillId="8" borderId="15" xfId="0" applyNumberFormat="1" applyFont="1" applyFill="1" applyBorder="1" applyAlignment="1">
      <alignment horizontal="center" vertical="center"/>
    </xf>
    <xf numFmtId="167" fontId="17" fillId="8" borderId="16" xfId="0" applyNumberFormat="1" applyFont="1" applyFill="1" applyBorder="1" applyAlignment="1">
      <alignment horizontal="center" vertical="center"/>
    </xf>
    <xf numFmtId="0" fontId="18" fillId="2" borderId="14" xfId="0" applyFont="1" applyFill="1" applyBorder="1" applyAlignment="1">
      <alignment horizontal="center" vertical="center" shrinkToFit="1"/>
    </xf>
    <xf numFmtId="0" fontId="18" fillId="2" borderId="12"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5" borderId="0" xfId="0" applyFont="1" applyFill="1" applyAlignment="1">
      <alignment horizontal="left" vertical="center" indent="1"/>
    </xf>
    <xf numFmtId="0" fontId="15" fillId="5" borderId="0" xfId="11" applyFont="1" applyFill="1" applyBorder="1" applyAlignment="1">
      <alignment vertical="center"/>
    </xf>
    <xf numFmtId="9" fontId="1" fillId="5" borderId="0" xfId="2" applyFont="1" applyFill="1" applyBorder="1" applyAlignment="1">
      <alignment horizontal="center" vertical="center"/>
    </xf>
    <xf numFmtId="164" fontId="15"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164" fontId="15" fillId="4" borderId="5" xfId="10" applyFont="1" applyFill="1" applyBorder="1">
      <alignment horizontal="center" vertical="center"/>
    </xf>
    <xf numFmtId="0" fontId="4" fillId="0" borderId="9" xfId="0" applyFont="1" applyBorder="1" applyAlignment="1">
      <alignment vertical="center"/>
    </xf>
    <xf numFmtId="0" fontId="4" fillId="0" borderId="8" xfId="0" applyFont="1" applyBorder="1" applyAlignment="1">
      <alignment vertical="center"/>
    </xf>
    <xf numFmtId="0" fontId="4" fillId="2" borderId="0" xfId="0" applyFont="1" applyFill="1" applyAlignment="1">
      <alignment vertical="center"/>
    </xf>
    <xf numFmtId="0" fontId="20" fillId="0" borderId="0" xfId="6" applyFont="1" applyAlignment="1">
      <alignment horizontal="left" vertical="center" indent="1"/>
    </xf>
    <xf numFmtId="0" fontId="20" fillId="0" borderId="0" xfId="7" applyFont="1" applyAlignment="1">
      <alignment horizontal="left" vertical="center" indent="1"/>
    </xf>
    <xf numFmtId="0" fontId="23" fillId="0" borderId="0" xfId="5" applyFont="1" applyAlignment="1">
      <alignment horizontal="left"/>
    </xf>
    <xf numFmtId="0" fontId="15" fillId="3" borderId="0" xfId="12" applyFont="1" applyFill="1" applyBorder="1">
      <alignment horizontal="left" vertical="center" indent="2"/>
    </xf>
    <xf numFmtId="0" fontId="15" fillId="3" borderId="0" xfId="11" applyFont="1" applyFill="1" applyBorder="1" applyAlignment="1">
      <alignment vertical="center"/>
    </xf>
    <xf numFmtId="165" fontId="21" fillId="0" borderId="0" xfId="9" applyFont="1" applyBorder="1" applyAlignment="1">
      <alignment horizontal="left"/>
    </xf>
    <xf numFmtId="0" fontId="22" fillId="0" borderId="0" xfId="0" applyFont="1"/>
    <xf numFmtId="0" fontId="20" fillId="0" borderId="0" xfId="8" applyFont="1" applyAlignment="1">
      <alignment horizontal="left"/>
    </xf>
    <xf numFmtId="0" fontId="4" fillId="0" borderId="0" xfId="0" applyFont="1"/>
    <xf numFmtId="0" fontId="9" fillId="0" borderId="0" xfId="3" applyAlignment="1">
      <alignment wrapText="1"/>
    </xf>
    <xf numFmtId="0" fontId="16" fillId="7" borderId="13" xfId="0" applyFont="1" applyFill="1" applyBorder="1" applyAlignment="1">
      <alignment horizontal="left" vertical="center" indent="1"/>
    </xf>
    <xf numFmtId="0" fontId="4" fillId="2" borderId="18" xfId="0" applyFont="1" applyFill="1" applyBorder="1" applyAlignment="1">
      <alignment horizontal="left" indent="1"/>
    </xf>
    <xf numFmtId="0" fontId="16" fillId="7" borderId="13" xfId="0" applyFont="1" applyFill="1" applyBorder="1" applyAlignment="1">
      <alignment vertical="center"/>
    </xf>
    <xf numFmtId="0" fontId="4" fillId="2" borderId="18" xfId="0" applyFont="1" applyFill="1" applyBorder="1"/>
    <xf numFmtId="0" fontId="16" fillId="7" borderId="13" xfId="0" applyFont="1" applyFill="1" applyBorder="1" applyAlignment="1">
      <alignment horizontal="center" vertical="center"/>
    </xf>
    <xf numFmtId="166" fontId="15" fillId="2" borderId="15" xfId="0" applyNumberFormat="1" applyFont="1" applyFill="1" applyBorder="1" applyAlignment="1">
      <alignment horizontal="center" vertical="center" wrapText="1"/>
    </xf>
    <xf numFmtId="166" fontId="15" fillId="2" borderId="11" xfId="0" applyNumberFormat="1" applyFont="1" applyFill="1" applyBorder="1" applyAlignment="1">
      <alignment horizontal="center" vertical="center" wrapText="1"/>
    </xf>
    <xf numFmtId="0" fontId="21" fillId="0" borderId="0" xfId="0" applyFont="1" applyAlignment="1">
      <alignment horizontal="left"/>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4">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3"/>
      <tableStyleElement type="headerRow" dxfId="42"/>
      <tableStyleElement type="totalRow" dxfId="41"/>
      <tableStyleElement type="firstColumn" dxfId="40"/>
      <tableStyleElement type="lastColumn" dxfId="39"/>
      <tableStyleElement type="firstRowStripe" dxfId="38"/>
      <tableStyleElement type="secondRowStripe" dxfId="37"/>
      <tableStyleElement type="firstColumnStripe" dxfId="36"/>
      <tableStyleElement type="secondColumnStripe" dxfId="3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topLeftCell="A4" zoomScale="74" zoomScaleNormal="84" zoomScalePageLayoutView="70" workbookViewId="0">
      <selection activeCell="C9" sqref="C9"/>
    </sheetView>
  </sheetViews>
  <sheetFormatPr defaultColWidth="8.75" defaultRowHeight="30" customHeight="1" x14ac:dyDescent="0.3"/>
  <cols>
    <col min="1" max="1" width="2.75" style="7" customWidth="1"/>
    <col min="2" max="2" width="22.75" customWidth="1"/>
    <col min="3" max="3" width="19.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7">
      <c r="A1" s="8"/>
      <c r="B1" s="61" t="s">
        <v>8</v>
      </c>
      <c r="C1" s="12"/>
      <c r="D1" s="13"/>
      <c r="E1" s="14"/>
      <c r="F1" s="15"/>
      <c r="H1" s="1"/>
      <c r="I1" s="66" t="s">
        <v>5</v>
      </c>
      <c r="J1" s="67"/>
      <c r="K1" s="67"/>
      <c r="L1" s="67"/>
      <c r="M1" s="67"/>
      <c r="N1" s="67"/>
      <c r="O1" s="67"/>
      <c r="P1" s="18"/>
      <c r="Q1" s="64">
        <f>DATE(2026,4,3)</f>
        <v>46115</v>
      </c>
      <c r="R1" s="65"/>
      <c r="S1" s="65"/>
      <c r="T1" s="65"/>
      <c r="U1" s="65"/>
      <c r="V1" s="65"/>
      <c r="W1" s="65"/>
      <c r="X1" s="65"/>
      <c r="Y1" s="65"/>
      <c r="Z1" s="65"/>
    </row>
    <row r="2" spans="1:64" ht="30" customHeight="1" x14ac:dyDescent="0.7">
      <c r="B2" s="59"/>
      <c r="C2" s="60"/>
      <c r="D2" s="16"/>
      <c r="E2" s="17"/>
      <c r="F2" s="16"/>
      <c r="I2" s="66" t="s">
        <v>6</v>
      </c>
      <c r="J2" s="67"/>
      <c r="K2" s="67"/>
      <c r="L2" s="67"/>
      <c r="M2" s="67"/>
      <c r="N2" s="67"/>
      <c r="O2" s="67"/>
      <c r="P2" s="18"/>
      <c r="Q2" s="76">
        <v>1</v>
      </c>
      <c r="R2" s="65"/>
      <c r="S2" s="65"/>
      <c r="T2" s="65"/>
      <c r="U2" s="65"/>
      <c r="V2" s="65"/>
      <c r="W2" s="65"/>
      <c r="X2" s="65"/>
      <c r="Y2" s="65"/>
      <c r="Z2" s="65"/>
    </row>
    <row r="3" spans="1:64" s="20" customFormat="1" ht="30" customHeight="1" x14ac:dyDescent="0.3">
      <c r="A3" s="7"/>
      <c r="B3" s="19"/>
      <c r="D3" s="21"/>
      <c r="E3" s="22"/>
    </row>
    <row r="4" spans="1:64" s="20" customFormat="1" ht="30" customHeight="1" x14ac:dyDescent="0.3">
      <c r="A4" s="8"/>
      <c r="B4" s="23"/>
      <c r="E4" s="24"/>
      <c r="I4" s="74">
        <f>I5</f>
        <v>46111</v>
      </c>
      <c r="J4" s="75"/>
      <c r="K4" s="75"/>
      <c r="L4" s="75"/>
      <c r="M4" s="75"/>
      <c r="N4" s="75"/>
      <c r="O4" s="75"/>
      <c r="P4" s="75">
        <f>P5</f>
        <v>46118</v>
      </c>
      <c r="Q4" s="75"/>
      <c r="R4" s="75"/>
      <c r="S4" s="75"/>
      <c r="T4" s="75"/>
      <c r="U4" s="75"/>
      <c r="V4" s="75"/>
      <c r="W4" s="75">
        <f>W5</f>
        <v>46125</v>
      </c>
      <c r="X4" s="75"/>
      <c r="Y4" s="75"/>
      <c r="Z4" s="75"/>
      <c r="AA4" s="75"/>
      <c r="AB4" s="75"/>
      <c r="AC4" s="75"/>
    </row>
    <row r="5" spans="1:64" s="20" customFormat="1" ht="15" customHeight="1" x14ac:dyDescent="0.3">
      <c r="A5" s="68"/>
      <c r="B5" s="69" t="s">
        <v>3</v>
      </c>
      <c r="C5" s="71" t="s">
        <v>7</v>
      </c>
      <c r="D5" s="73" t="s">
        <v>0</v>
      </c>
      <c r="E5" s="73" t="s">
        <v>1</v>
      </c>
      <c r="F5" s="73" t="s">
        <v>2</v>
      </c>
      <c r="I5" s="25">
        <f>Project_Start-WEEKDAY(Project_Start,1)+2+7*(Display_Week-1)</f>
        <v>46111</v>
      </c>
      <c r="J5" s="25">
        <f>I5+1</f>
        <v>46112</v>
      </c>
      <c r="K5" s="25">
        <f t="shared" ref="K5:V5" si="0">J5+1</f>
        <v>46113</v>
      </c>
      <c r="L5" s="25">
        <f t="shared" si="0"/>
        <v>46114</v>
      </c>
      <c r="M5" s="25">
        <f t="shared" si="0"/>
        <v>46115</v>
      </c>
      <c r="N5" s="25">
        <f t="shared" si="0"/>
        <v>46116</v>
      </c>
      <c r="O5" s="26">
        <f t="shared" si="0"/>
        <v>46117</v>
      </c>
      <c r="P5" s="27">
        <f>O5+1</f>
        <v>46118</v>
      </c>
      <c r="Q5" s="25">
        <f>P5+1</f>
        <v>46119</v>
      </c>
      <c r="R5" s="25">
        <f t="shared" si="0"/>
        <v>46120</v>
      </c>
      <c r="S5" s="25">
        <f t="shared" si="0"/>
        <v>46121</v>
      </c>
      <c r="T5" s="25">
        <f t="shared" si="0"/>
        <v>46122</v>
      </c>
      <c r="U5" s="25">
        <f t="shared" si="0"/>
        <v>46123</v>
      </c>
      <c r="V5" s="26">
        <f t="shared" si="0"/>
        <v>46124</v>
      </c>
      <c r="W5" s="27">
        <f>V5+1</f>
        <v>46125</v>
      </c>
      <c r="X5" s="25"/>
      <c r="Y5" s="25"/>
      <c r="Z5" s="25"/>
      <c r="AA5" s="25"/>
      <c r="AB5" s="25"/>
      <c r="AC5" s="26"/>
    </row>
    <row r="6" spans="1:64" s="20" customFormat="1" ht="14.5" thickBot="1" x14ac:dyDescent="0.35">
      <c r="A6" s="68"/>
      <c r="B6" s="70"/>
      <c r="C6" s="72"/>
      <c r="D6" s="72"/>
      <c r="E6" s="72"/>
      <c r="F6" s="72"/>
      <c r="I6" s="28" t="str">
        <f t="shared" ref="I6:W6" si="1">LEFT(TEXT(I5,"ddd"),1)</f>
        <v>M</v>
      </c>
      <c r="J6" s="29" t="str">
        <f t="shared" si="1"/>
        <v>T</v>
      </c>
      <c r="K6" s="29" t="str">
        <f t="shared" si="1"/>
        <v>W</v>
      </c>
      <c r="L6" s="29" t="str">
        <f t="shared" si="1"/>
        <v>T</v>
      </c>
      <c r="M6" s="29" t="str">
        <f t="shared" si="1"/>
        <v>F</v>
      </c>
      <c r="N6" s="29" t="str">
        <f t="shared" si="1"/>
        <v>S</v>
      </c>
      <c r="O6" s="29" t="str">
        <f t="shared" si="1"/>
        <v>S</v>
      </c>
      <c r="P6" s="29" t="str">
        <f t="shared" si="1"/>
        <v>M</v>
      </c>
      <c r="Q6" s="29" t="str">
        <f t="shared" si="1"/>
        <v>T</v>
      </c>
      <c r="R6" s="29" t="str">
        <f t="shared" si="1"/>
        <v>W</v>
      </c>
      <c r="S6" s="29" t="str">
        <f t="shared" si="1"/>
        <v>T</v>
      </c>
      <c r="T6" s="29" t="str">
        <f t="shared" si="1"/>
        <v>F</v>
      </c>
      <c r="U6" s="29" t="str">
        <f t="shared" si="1"/>
        <v>S</v>
      </c>
      <c r="V6" s="29" t="str">
        <f t="shared" si="1"/>
        <v>S</v>
      </c>
      <c r="W6" s="29" t="str">
        <f t="shared" si="1"/>
        <v>M</v>
      </c>
      <c r="X6" s="29"/>
      <c r="Y6" s="29"/>
      <c r="Z6" s="29"/>
      <c r="AA6" s="29"/>
      <c r="AB6" s="29"/>
      <c r="AC6" s="29"/>
    </row>
    <row r="7" spans="1:64" s="20" customFormat="1" ht="30" hidden="1" customHeight="1" thickBot="1" x14ac:dyDescent="0.35">
      <c r="A7" s="7" t="s">
        <v>4</v>
      </c>
      <c r="B7" s="30"/>
      <c r="C7" s="31"/>
      <c r="D7" s="30"/>
      <c r="E7" s="30"/>
      <c r="F7" s="30"/>
      <c r="H7" s="20"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9" customFormat="1" ht="30" customHeight="1" thickBot="1" x14ac:dyDescent="0.35">
      <c r="A8" s="8"/>
      <c r="B8" s="33" t="s">
        <v>19</v>
      </c>
      <c r="C8" s="34"/>
      <c r="D8" s="35"/>
      <c r="E8" s="36"/>
      <c r="F8" s="37"/>
      <c r="G8" s="11"/>
      <c r="H8" s="5" t="str">
        <f t="shared" ref="C8:H34" si="2">IF(OR(ISBLANK(task_start),ISBLANK(task_end)),"",task_end-task_start+1)</f>
        <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row>
    <row r="9" spans="1:64" s="39" customFormat="1" ht="30" customHeight="1" thickBot="1" x14ac:dyDescent="0.35">
      <c r="A9" s="8"/>
      <c r="B9" s="40" t="s">
        <v>9</v>
      </c>
      <c r="C9" s="41" t="s">
        <v>14</v>
      </c>
      <c r="D9" s="42">
        <v>1</v>
      </c>
      <c r="E9" s="43">
        <f>Project_Start</f>
        <v>46115</v>
      </c>
      <c r="F9" s="43">
        <f>E9+3</f>
        <v>46118</v>
      </c>
      <c r="G9" s="11"/>
      <c r="H9" s="5">
        <f t="shared" si="2"/>
        <v>4</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9" customFormat="1" ht="30" customHeight="1" thickBot="1" x14ac:dyDescent="0.35">
      <c r="A10" s="8"/>
      <c r="B10" s="45" t="s">
        <v>11</v>
      </c>
      <c r="C10" s="46" t="s">
        <v>21</v>
      </c>
      <c r="D10" s="42">
        <v>1</v>
      </c>
      <c r="E10" s="47">
        <f>F9</f>
        <v>46118</v>
      </c>
      <c r="F10" s="47">
        <f>E10+2</f>
        <v>46120</v>
      </c>
      <c r="G10" s="11"/>
      <c r="H10" s="5">
        <f t="shared" si="2"/>
        <v>3</v>
      </c>
      <c r="I10" s="44"/>
      <c r="J10" s="44"/>
      <c r="K10" s="44"/>
      <c r="L10" s="44"/>
      <c r="M10" s="44"/>
      <c r="N10" s="44"/>
      <c r="O10" s="44"/>
      <c r="P10" s="44"/>
      <c r="Q10" s="44"/>
      <c r="R10" s="44"/>
      <c r="S10" s="44"/>
      <c r="T10" s="44"/>
      <c r="U10" s="48"/>
      <c r="V10" s="48"/>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9" customFormat="1" ht="30" customHeight="1" thickBot="1" x14ac:dyDescent="0.35">
      <c r="A11" s="7"/>
      <c r="B11" s="45" t="s">
        <v>10</v>
      </c>
      <c r="C11" s="46" t="s">
        <v>24</v>
      </c>
      <c r="D11" s="42">
        <v>1</v>
      </c>
      <c r="E11" s="47">
        <f>F10</f>
        <v>46120</v>
      </c>
      <c r="F11" s="47">
        <f>E11+4</f>
        <v>46124</v>
      </c>
      <c r="G11" s="11"/>
      <c r="H11" s="5">
        <f t="shared" si="2"/>
        <v>5</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9" customFormat="1" ht="30" customHeight="1" thickBot="1" x14ac:dyDescent="0.35">
      <c r="A12" s="7"/>
      <c r="B12" s="45" t="s">
        <v>12</v>
      </c>
      <c r="C12" s="46" t="s">
        <v>17</v>
      </c>
      <c r="D12" s="42">
        <v>1</v>
      </c>
      <c r="E12" s="47">
        <f>F11</f>
        <v>46124</v>
      </c>
      <c r="F12" s="47">
        <f>E12+3</f>
        <v>46127</v>
      </c>
      <c r="G12" s="11"/>
      <c r="H12" s="5">
        <f t="shared" si="2"/>
        <v>4</v>
      </c>
      <c r="I12" s="44"/>
      <c r="J12" s="44"/>
      <c r="K12" s="44"/>
      <c r="L12" s="44"/>
      <c r="M12" s="44"/>
      <c r="N12" s="44"/>
      <c r="O12" s="44"/>
      <c r="P12" s="44"/>
      <c r="Q12" s="44"/>
      <c r="R12" s="44"/>
      <c r="S12" s="44"/>
      <c r="T12" s="44"/>
      <c r="U12" s="44"/>
      <c r="V12" s="44"/>
      <c r="W12" s="44"/>
      <c r="X12" s="44"/>
      <c r="Y12" s="48"/>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9" customFormat="1" ht="30" customHeight="1" thickBot="1" x14ac:dyDescent="0.35">
      <c r="A13" s="7"/>
      <c r="B13" s="45" t="s">
        <v>22</v>
      </c>
      <c r="C13" s="46" t="s">
        <v>20</v>
      </c>
      <c r="D13" s="42">
        <v>1</v>
      </c>
      <c r="E13" s="47">
        <f>E10+1</f>
        <v>46119</v>
      </c>
      <c r="F13" s="47">
        <f>E13+2</f>
        <v>46121</v>
      </c>
      <c r="G13" s="11"/>
      <c r="H13" s="5">
        <f t="shared" si="2"/>
        <v>3</v>
      </c>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9" customFormat="1" ht="30" customHeight="1" thickBot="1" x14ac:dyDescent="0.35">
      <c r="A14" s="7"/>
      <c r="B14" s="62" t="s">
        <v>13</v>
      </c>
      <c r="C14" s="63" t="s">
        <v>15</v>
      </c>
      <c r="D14" s="42">
        <v>1</v>
      </c>
      <c r="E14" s="47">
        <f>E11+1</f>
        <v>46121</v>
      </c>
      <c r="F14" s="47">
        <f>E14+2</f>
        <v>46123</v>
      </c>
      <c r="G14" s="11"/>
      <c r="H14" s="5"/>
    </row>
    <row r="15" spans="1:64" s="39" customFormat="1" ht="30" customHeight="1" thickBot="1" x14ac:dyDescent="0.35">
      <c r="A15" s="8"/>
      <c r="B15" s="49" t="s">
        <v>18</v>
      </c>
      <c r="C15" s="50"/>
      <c r="D15" s="50"/>
      <c r="E15" s="51"/>
      <c r="F15" s="52"/>
      <c r="G15" s="11"/>
      <c r="H15" s="5" t="str">
        <f t="shared" si="2"/>
        <v/>
      </c>
    </row>
    <row r="16" spans="1:64" s="39" customFormat="1" ht="30" customHeight="1" thickBot="1" x14ac:dyDescent="0.35">
      <c r="A16" s="8"/>
      <c r="B16" s="53" t="s">
        <v>23</v>
      </c>
      <c r="C16" s="54" t="s">
        <v>16</v>
      </c>
      <c r="D16" s="42">
        <v>1</v>
      </c>
      <c r="E16" s="55">
        <f>E13+1</f>
        <v>46120</v>
      </c>
      <c r="F16" s="55">
        <f>E16+6</f>
        <v>46126</v>
      </c>
      <c r="G16" s="11"/>
      <c r="H16" s="5">
        <f t="shared" si="2"/>
        <v>7</v>
      </c>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59" s="39" customFormat="1" ht="30" customHeight="1" thickBot="1" x14ac:dyDescent="0.35">
      <c r="A17" s="7"/>
      <c r="B17" s="11"/>
      <c r="C17" s="5" t="str">
        <f t="shared" si="2"/>
        <v/>
      </c>
      <c r="D17" s="44"/>
      <c r="E17" s="44"/>
      <c r="F17" s="44"/>
      <c r="G17" s="44"/>
      <c r="H17" s="44"/>
      <c r="I17" s="44"/>
      <c r="J17" s="44"/>
      <c r="K17" s="44"/>
      <c r="L17" s="44"/>
      <c r="M17" s="44"/>
      <c r="N17" s="44"/>
      <c r="O17" s="44"/>
      <c r="P17" s="48"/>
      <c r="Q17" s="48"/>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row>
    <row r="18" spans="1:59" s="39" customFormat="1" ht="30" customHeight="1" thickBot="1" x14ac:dyDescent="0.35">
      <c r="A18" s="7"/>
      <c r="B18" s="11"/>
      <c r="C18" s="5" t="str">
        <f t="shared" si="2"/>
        <v/>
      </c>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row>
    <row r="19" spans="1:59" s="39" customFormat="1" ht="30" customHeight="1" thickBot="1" x14ac:dyDescent="0.35">
      <c r="A19" s="7"/>
      <c r="B19" s="11"/>
      <c r="C19" s="5" t="str">
        <f t="shared" si="2"/>
        <v/>
      </c>
      <c r="D19" s="44"/>
      <c r="E19" s="44"/>
      <c r="F19" s="44"/>
      <c r="G19" s="44"/>
      <c r="H19" s="44"/>
      <c r="I19" s="44"/>
      <c r="J19" s="44"/>
      <c r="K19" s="44"/>
      <c r="L19" s="44"/>
      <c r="M19" s="44"/>
      <c r="N19" s="44"/>
      <c r="O19" s="44"/>
      <c r="P19" s="44"/>
      <c r="Q19" s="44"/>
      <c r="R19" s="44"/>
      <c r="S19" s="44"/>
      <c r="T19" s="48"/>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row>
    <row r="20" spans="1:59" s="39" customFormat="1" ht="30" customHeight="1" thickBot="1" x14ac:dyDescent="0.35">
      <c r="A20" s="7"/>
      <c r="B20" s="11"/>
      <c r="C20" s="5" t="str">
        <f t="shared" si="2"/>
        <v/>
      </c>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row>
    <row r="21" spans="1:59" s="39" customFormat="1" ht="30" customHeight="1" thickBot="1" x14ac:dyDescent="0.35">
      <c r="A21" s="7"/>
      <c r="B21" s="11"/>
      <c r="C21" s="5" t="str">
        <f t="shared" si="2"/>
        <v/>
      </c>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row>
    <row r="22" spans="1:59" s="39" customFormat="1" ht="30" customHeight="1" thickBot="1" x14ac:dyDescent="0.35">
      <c r="A22" s="7"/>
      <c r="B22" s="11"/>
      <c r="C22" s="5" t="str">
        <f t="shared" si="2"/>
        <v/>
      </c>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row>
    <row r="23" spans="1:59" s="39" customFormat="1" ht="30" customHeight="1" thickBot="1" x14ac:dyDescent="0.35">
      <c r="A23" s="7"/>
      <c r="B23" s="11"/>
      <c r="C23" s="5" t="str">
        <f t="shared" si="2"/>
        <v/>
      </c>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row>
    <row r="24" spans="1:59" s="39" customFormat="1" ht="30" customHeight="1" thickBot="1" x14ac:dyDescent="0.35">
      <c r="A24" s="7"/>
      <c r="B24" s="11"/>
      <c r="C24" s="5" t="str">
        <f t="shared" si="2"/>
        <v/>
      </c>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row>
    <row r="25" spans="1:59" s="39" customFormat="1" ht="30" customHeight="1" thickBot="1" x14ac:dyDescent="0.35">
      <c r="A25" s="7"/>
      <c r="B25" s="11"/>
      <c r="C25" s="5" t="str">
        <f t="shared" si="2"/>
        <v/>
      </c>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row>
    <row r="26" spans="1:59" s="39" customFormat="1" ht="30" customHeight="1" thickBot="1" x14ac:dyDescent="0.35">
      <c r="A26" s="7"/>
      <c r="B26" s="11"/>
      <c r="C26" s="5" t="str">
        <f t="shared" si="2"/>
        <v/>
      </c>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row>
    <row r="27" spans="1:59" s="39" customFormat="1" ht="30" customHeight="1" thickBot="1" x14ac:dyDescent="0.35">
      <c r="A27" s="7"/>
      <c r="B27" s="11"/>
      <c r="C27" s="5" t="str">
        <f t="shared" si="2"/>
        <v/>
      </c>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row>
    <row r="28" spans="1:59" s="39" customFormat="1" ht="30" customHeight="1" thickBot="1" x14ac:dyDescent="0.35">
      <c r="A28" s="7"/>
      <c r="B28" s="11"/>
      <c r="C28" s="5" t="str">
        <f t="shared" si="2"/>
        <v/>
      </c>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row>
    <row r="29" spans="1:59" s="39" customFormat="1" ht="30" customHeight="1" thickBot="1" x14ac:dyDescent="0.35">
      <c r="A29" s="7"/>
      <c r="B29" s="11"/>
      <c r="C29" s="5" t="str">
        <f t="shared" si="2"/>
        <v/>
      </c>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row>
    <row r="30" spans="1:59" s="39" customFormat="1" ht="30" customHeight="1" thickBot="1" x14ac:dyDescent="0.35">
      <c r="A30" s="7"/>
      <c r="B30" s="11"/>
      <c r="C30" s="5" t="str">
        <f t="shared" si="2"/>
        <v/>
      </c>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row>
    <row r="31" spans="1:59" s="39" customFormat="1" ht="30" customHeight="1" thickBot="1" x14ac:dyDescent="0.35">
      <c r="A31" s="7"/>
      <c r="B31" s="11"/>
      <c r="C31" s="5" t="str">
        <f t="shared" si="2"/>
        <v/>
      </c>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row>
    <row r="32" spans="1:59" s="39" customFormat="1" ht="30" customHeight="1" thickBot="1" x14ac:dyDescent="0.35">
      <c r="A32" s="7"/>
      <c r="B32" s="11"/>
      <c r="C32" s="5" t="str">
        <f t="shared" si="2"/>
        <v/>
      </c>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row>
    <row r="33" spans="1:59" s="39" customFormat="1" ht="30" customHeight="1" thickBot="1" x14ac:dyDescent="0.35">
      <c r="A33" s="7"/>
      <c r="B33" s="11"/>
      <c r="C33" s="5" t="str">
        <f t="shared" si="2"/>
        <v/>
      </c>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row>
    <row r="34" spans="1:59" s="39" customFormat="1" ht="30" customHeight="1" thickBot="1" x14ac:dyDescent="0.35">
      <c r="A34" s="8"/>
      <c r="B34" s="11"/>
      <c r="C34" s="6" t="str">
        <f t="shared" si="2"/>
        <v/>
      </c>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row>
    <row r="35" spans="1:59" ht="30" customHeight="1" x14ac:dyDescent="0.3">
      <c r="G35" s="3"/>
    </row>
    <row r="36" spans="1:59" ht="30" customHeight="1" x14ac:dyDescent="0.3">
      <c r="C36" s="10"/>
      <c r="F36" s="9"/>
    </row>
    <row r="37" spans="1:59" ht="30" customHeight="1" x14ac:dyDescent="0.3">
      <c r="C37" s="4"/>
    </row>
  </sheetData>
  <mergeCells count="13">
    <mergeCell ref="Q1:Z1"/>
    <mergeCell ref="I1:O1"/>
    <mergeCell ref="I2:O2"/>
    <mergeCell ref="A5:A6"/>
    <mergeCell ref="B5:B6"/>
    <mergeCell ref="C5:C6"/>
    <mergeCell ref="D5:D6"/>
    <mergeCell ref="E5:E6"/>
    <mergeCell ref="I4:O4"/>
    <mergeCell ref="P4:V4"/>
    <mergeCell ref="W4:AC4"/>
    <mergeCell ref="F5:F6"/>
    <mergeCell ref="Q2:Z2"/>
  </mergeCells>
  <conditionalFormatting sqref="D7:D14 D1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17:W20">
    <cfRule type="expression" dxfId="34" priority="43" stopIfTrue="1">
      <formula>AND(task_end&gt;=I$5,task_start&lt;J$5)</formula>
    </cfRule>
  </conditionalFormatting>
  <conditionalFormatting sqref="D17:W32">
    <cfRule type="expression" dxfId="33" priority="39">
      <formula>AND(TODAY()&gt;=I$5, TODAY()&lt;J$5)</formula>
    </cfRule>
  </conditionalFormatting>
  <conditionalFormatting sqref="D22:W26">
    <cfRule type="expression" dxfId="32" priority="3" stopIfTrue="1">
      <formula>AND(task_end&gt;=I$5,task_start&lt;J$5)</formula>
    </cfRule>
  </conditionalFormatting>
  <conditionalFormatting sqref="D28:W32">
    <cfRule type="expression" dxfId="31" priority="37" stopIfTrue="1">
      <formula>AND(task_end&gt;=I$5,task_start&lt;J$5)</formula>
    </cfRule>
  </conditionalFormatting>
  <conditionalFormatting sqref="D17:X20">
    <cfRule type="expression" dxfId="30" priority="42">
      <formula>AND(task_start&lt;=I$5,ROUNDDOWN((task_end-task_start+1)*task_progress,0)+task_start-1&gt;=I$5)</formula>
    </cfRule>
  </conditionalFormatting>
  <conditionalFormatting sqref="D22:X26">
    <cfRule type="expression" dxfId="29" priority="2">
      <formula>AND(task_start&lt;=I$5,ROUNDDOWN((task_end-task_start+1)*task_progress,0)+task_start-1&gt;=I$5)</formula>
    </cfRule>
  </conditionalFormatting>
  <conditionalFormatting sqref="D28:X32">
    <cfRule type="expression" dxfId="28" priority="36">
      <formula>AND(task_start&lt;=I$5,ROUNDDOWN((task_end-task_start+1)*task_progress,0)+task_start-1&gt;=I$5)</formula>
    </cfRule>
  </conditionalFormatting>
  <conditionalFormatting sqref="I4:AB6 I7:AC16">
    <cfRule type="expression" dxfId="27" priority="1">
      <formula>AND(TODAY()&gt;=I$5, TODAY()&lt;J$5)</formula>
    </cfRule>
  </conditionalFormatting>
  <conditionalFormatting sqref="I9:AB14">
    <cfRule type="expression" dxfId="26" priority="7" stopIfTrue="1">
      <formula>AND(task_end&gt;=I$5,task_start&lt;J$5)</formula>
    </cfRule>
  </conditionalFormatting>
  <conditionalFormatting sqref="I16:AB16">
    <cfRule type="expression" dxfId="25" priority="5" stopIfTrue="1">
      <formula>AND(task_end&gt;=I$5,task_start&lt;J$5)</formula>
    </cfRule>
  </conditionalFormatting>
  <conditionalFormatting sqref="I9:AC14">
    <cfRule type="expression" dxfId="24" priority="6">
      <formula>AND(task_start&lt;=I$5,ROUNDDOWN((task_end-task_start+1)*task_progress,0)+task_start-1&gt;=I$5)</formula>
    </cfRule>
  </conditionalFormatting>
  <conditionalFormatting sqref="I16:AC16">
    <cfRule type="expression" dxfId="23" priority="4">
      <formula>AND(task_start&lt;=I$5,ROUNDDOWN((task_end-task_start+1)*task_progress,0)+task_start-1&gt;=I$5)</formula>
    </cfRule>
  </conditionalFormatting>
  <conditionalFormatting sqref="X17:X20">
    <cfRule type="expression" dxfId="22" priority="89" stopIfTrue="1">
      <formula>AND(task_end&gt;=AC$5,task_start&lt;#REF!)</formula>
    </cfRule>
  </conditionalFormatting>
  <conditionalFormatting sqref="X17:X32">
    <cfRule type="expression" dxfId="21" priority="82">
      <formula>AND(TODAY()&gt;=AC$5, TODAY()&lt;#REF!)</formula>
    </cfRule>
  </conditionalFormatting>
  <conditionalFormatting sqref="X22:X26">
    <cfRule type="expression" dxfId="20" priority="69" stopIfTrue="1">
      <formula>AND(task_end&gt;=AC$5,task_start&lt;#REF!)</formula>
    </cfRule>
  </conditionalFormatting>
  <conditionalFormatting sqref="X28:X32">
    <cfRule type="expression" dxfId="19" priority="77" stopIfTrue="1">
      <formula>AND(task_end&gt;=AC$5,task_start&lt;#REF!)</formula>
    </cfRule>
  </conditionalFormatting>
  <conditionalFormatting sqref="Y22:BF26">
    <cfRule type="expression" dxfId="18" priority="67" stopIfTrue="1">
      <formula>AND(task_end&gt;=#REF!,task_start&lt;#REF!)</formula>
    </cfRule>
  </conditionalFormatting>
  <conditionalFormatting sqref="Y28:BF32">
    <cfRule type="expression" dxfId="17" priority="75" stopIfTrue="1">
      <formula>AND(task_end&gt;=#REF!,task_start&lt;#REF!)</formula>
    </cfRule>
  </conditionalFormatting>
  <conditionalFormatting sqref="Y22:BG26">
    <cfRule type="expression" dxfId="16" priority="66">
      <formula>AND(task_start&lt;=#REF!,ROUNDDOWN((task_end-task_start+1)*task_progress,0)+task_start-1&gt;=#REF!)</formula>
    </cfRule>
  </conditionalFormatting>
  <conditionalFormatting sqref="Y28:BG32">
    <cfRule type="expression" dxfId="15" priority="74">
      <formula>AND(task_start&lt;=#REF!,ROUNDDOWN((task_end-task_start+1)*task_progress,0)+task_start-1&gt;=#REF!)</formula>
    </cfRule>
  </conditionalFormatting>
  <conditionalFormatting sqref="AC4:AC6">
    <cfRule type="expression" dxfId="14" priority="46">
      <formula>AND(TODAY()&gt;=AC$5, TODAY()&lt;#REF!)</formula>
    </cfRule>
  </conditionalFormatting>
  <conditionalFormatting sqref="AC9:AC14">
    <cfRule type="expression" dxfId="13" priority="53" stopIfTrue="1">
      <formula>AND(task_end&gt;=AC$5,task_start&lt;#REF!)</formula>
    </cfRule>
  </conditionalFormatting>
  <conditionalFormatting sqref="AC16">
    <cfRule type="expression" dxfId="12" priority="61" stopIfTrue="1">
      <formula>AND(task_end&gt;=AC$5,task_start&lt;#REF!)</formula>
    </cfRule>
  </conditionalFormatting>
  <conditionalFormatting sqref="AD7:BK16 Y17:BF32">
    <cfRule type="expression" dxfId="11" priority="45">
      <formula>AND(TODAY()&gt;=#REF!, TODAY()&lt;#REF!)</formula>
    </cfRule>
  </conditionalFormatting>
  <conditionalFormatting sqref="AD9:BK14">
    <cfRule type="expression" dxfId="10" priority="51" stopIfTrue="1">
      <formula>AND(task_end&gt;=#REF!,task_start&lt;#REF!)</formula>
    </cfRule>
  </conditionalFormatting>
  <conditionalFormatting sqref="AD16:BK16 Y17:BF20">
    <cfRule type="expression" dxfId="9" priority="59" stopIfTrue="1">
      <formula>AND(task_end&gt;=#REF!,task_start&lt;#REF!)</formula>
    </cfRule>
  </conditionalFormatting>
  <conditionalFormatting sqref="AD9:BL14">
    <cfRule type="expression" dxfId="8" priority="50">
      <formula>AND(task_start&lt;=#REF!,ROUNDDOWN((task_end-task_start+1)*task_progress,0)+task_start-1&gt;=#REF!)</formula>
    </cfRule>
  </conditionalFormatting>
  <conditionalFormatting sqref="AD16:BL16 Y17:BG20">
    <cfRule type="expression" dxfId="7" priority="58">
      <formula>AND(task_start&lt;=#REF!,ROUNDDOWN((task_end-task_start+1)*task_progress,0)+task_start-1&gt;=#REF!)</formula>
    </cfRule>
  </conditionalFormatting>
  <conditionalFormatting sqref="BG17:BG20">
    <cfRule type="expression" dxfId="6" priority="91" stopIfTrue="1">
      <formula>AND(task_end&gt;=#REF!,task_start&lt;AD$5)</formula>
    </cfRule>
  </conditionalFormatting>
  <conditionalFormatting sqref="BG17:BG32">
    <cfRule type="expression" dxfId="5" priority="83">
      <formula>AND(TODAY()&gt;=#REF!, TODAY()&lt;AD$5)</formula>
    </cfRule>
  </conditionalFormatting>
  <conditionalFormatting sqref="BG22:BG26">
    <cfRule type="expression" dxfId="4" priority="71" stopIfTrue="1">
      <formula>AND(task_end&gt;=#REF!,task_start&lt;AD$5)</formula>
    </cfRule>
  </conditionalFormatting>
  <conditionalFormatting sqref="BG28:BG32">
    <cfRule type="expression" dxfId="3" priority="79" stopIfTrue="1">
      <formula>AND(task_end&gt;=#REF!,task_start&lt;AD$5)</formula>
    </cfRule>
  </conditionalFormatting>
  <conditionalFormatting sqref="BL7:BL16">
    <cfRule type="expression" dxfId="2" priority="47">
      <formula>AND(TODAY()&gt;=#REF!, TODAY()&lt;AD$5)</formula>
    </cfRule>
  </conditionalFormatting>
  <conditionalFormatting sqref="BL9:BL14">
    <cfRule type="expression" dxfId="1" priority="55" stopIfTrue="1">
      <formula>AND(task_end&gt;=#REF!,task_start&lt;AD$5)</formula>
    </cfRule>
  </conditionalFormatting>
  <conditionalFormatting sqref="BL16">
    <cfRule type="expression" dxfId="0" priority="63" stopIfTrue="1">
      <formula>AND(task_end&gt;=#REF!,task_start&lt;AD$5)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D7:D14 D16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dc91e7d-d7bd-42c0-876e-43e7fae9939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55DF55957126846A84283D089F7812A" ma:contentTypeVersion="10" ma:contentTypeDescription="Create a new document." ma:contentTypeScope="" ma:versionID="27088a788bf0e076bdfbd47d96d7fd47">
  <xsd:schema xmlns:xsd="http://www.w3.org/2001/XMLSchema" xmlns:xs="http://www.w3.org/2001/XMLSchema" xmlns:p="http://schemas.microsoft.com/office/2006/metadata/properties" xmlns:ns3="adc91e7d-d7bd-42c0-876e-43e7fae99394" targetNamespace="http://schemas.microsoft.com/office/2006/metadata/properties" ma:root="true" ma:fieldsID="6776d6ea95607032bd21b166fd93a1b2" ns3:_="">
    <xsd:import namespace="adc91e7d-d7bd-42c0-876e-43e7fae9939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GenerationTime" minOccurs="0"/>
                <xsd:element ref="ns3:MediaServiceEventHashCode"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91e7d-d7bd-42c0-876e-43e7fae993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http://purl.org/dc/dcmitype/"/>
    <ds:schemaRef ds:uri="http://purl.org/dc/elements/1.1/"/>
    <ds:schemaRef ds:uri="adc91e7d-d7bd-42c0-876e-43e7fae99394"/>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BEF8DA-6958-4396-B888-CADAB618ED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c91e7d-d7bd-42c0-876e-43e7fae993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ALKHALDI, HOMOOD FALAH HOMOOD</dc:creator>
  <dc:description/>
  <cp:lastModifiedBy>مها خالد الزهراني</cp:lastModifiedBy>
  <dcterms:created xsi:type="dcterms:W3CDTF">2022-03-11T22:41:12Z</dcterms:created>
  <dcterms:modified xsi:type="dcterms:W3CDTF">2026-04-10T19:19:00Z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0x010100655DF55957126846A84283D089F7812A</vt:lpwstr>
  </property>
  <property fmtid="{D5CDD505-2E9C-101B-9397-08002B2CF9AE}" pid="3" name="MediaServiceImageTags">
    <vt:lpwstr/>
  </property>
  <property fmtid="{D5CDD505-2E9C-101B-9397-08002B2CF9AE}" pid="4" name="MSIP_Label_b196578f-6ae1-40cd-93dd-1a3b7a6ede66_Enabled">
    <vt:lpwstr>true</vt:lpwstr>
  </property>
  <property fmtid="{D5CDD505-2E9C-101B-9397-08002B2CF9AE}" pid="5" name="MSIP_Label_b196578f-6ae1-40cd-93dd-1a3b7a6ede66_SetDate">
    <vt:lpwstr>2026-04-10T19:13:57Z</vt:lpwstr>
  </property>
  <property fmtid="{D5CDD505-2E9C-101B-9397-08002B2CF9AE}" pid="6" name="MSIP_Label_b196578f-6ae1-40cd-93dd-1a3b7a6ede66_Method">
    <vt:lpwstr>Standard</vt:lpwstr>
  </property>
  <property fmtid="{D5CDD505-2E9C-101B-9397-08002B2CF9AE}" pid="7" name="MSIP_Label_b196578f-6ae1-40cd-93dd-1a3b7a6ede66_Name">
    <vt:lpwstr>Public - عام</vt:lpwstr>
  </property>
  <property fmtid="{D5CDD505-2E9C-101B-9397-08002B2CF9AE}" pid="8" name="MSIP_Label_b196578f-6ae1-40cd-93dd-1a3b7a6ede66_SiteId">
    <vt:lpwstr>2c86bbfc-8d04-41ff-a83a-942f075e0f60</vt:lpwstr>
  </property>
  <property fmtid="{D5CDD505-2E9C-101B-9397-08002B2CF9AE}" pid="9" name="MSIP_Label_b196578f-6ae1-40cd-93dd-1a3b7a6ede66_ActionId">
    <vt:lpwstr>29afde23-e893-45a2-b609-ca01d07a4fcd</vt:lpwstr>
  </property>
  <property fmtid="{D5CDD505-2E9C-101B-9397-08002B2CF9AE}" pid="10" name="MSIP_Label_b196578f-6ae1-40cd-93dd-1a3b7a6ede66_ContentBits">
    <vt:lpwstr>0</vt:lpwstr>
  </property>
  <property fmtid="{D5CDD505-2E9C-101B-9397-08002B2CF9AE}" pid="11" name="MSIP_Label_b196578f-6ae1-40cd-93dd-1a3b7a6ede66_Tag">
    <vt:lpwstr>10, 3, 0, 1</vt:lpwstr>
  </property>
</Properties>
</file>